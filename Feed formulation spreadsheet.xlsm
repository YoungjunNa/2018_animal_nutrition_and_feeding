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827" codeName="{37B6ACAC-4A07-160E-37E0-EFA003358AD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Youngjun\Google Drive\_Youngjun Na\Software\LP program\"/>
    </mc:Choice>
  </mc:AlternateContent>
  <bookViews>
    <workbookView xWindow="0" yWindow="0" windowWidth="21570" windowHeight="8565" xr2:uid="{00000000-000D-0000-FFFF-FFFF00000000}"/>
  </bookViews>
  <sheets>
    <sheet name="Sheet1" sheetId="1" r:id="rId1"/>
  </sheets>
  <definedNames>
    <definedName name="solver_adj" localSheetId="0" hidden="1">Sheet1!$E$5:$E$8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Sheet1!$N$10</definedName>
    <definedName name="solver_lhs10" localSheetId="0" hidden="1">Sheet1!$L$10</definedName>
    <definedName name="solver_lhs11" localSheetId="0" hidden="1">Sheet1!$L$9</definedName>
    <definedName name="solver_lhs12" localSheetId="0" hidden="1">Sheet1!$K$10</definedName>
    <definedName name="solver_lhs13" localSheetId="0" hidden="1">Sheet1!$L$10</definedName>
    <definedName name="solver_lhs14" localSheetId="0" hidden="1">Sheet1!$K$9</definedName>
    <definedName name="solver_lhs15" localSheetId="0" hidden="1">Sheet1!$J$9</definedName>
    <definedName name="solver_lhs16" localSheetId="0" hidden="1">Sheet1!$B$5</definedName>
    <definedName name="solver_lhs17" localSheetId="0" hidden="1">Sheet1!$B$5</definedName>
    <definedName name="solver_lhs18" localSheetId="0" hidden="1">Sheet1!$I$10</definedName>
    <definedName name="solver_lhs19" localSheetId="0" hidden="1">Sheet1!$F$7</definedName>
    <definedName name="solver_lhs2" localSheetId="0" hidden="1">Sheet1!$M$9</definedName>
    <definedName name="solver_lhs20" localSheetId="0" hidden="1">Sheet1!$I$9</definedName>
    <definedName name="solver_lhs21" localSheetId="0" hidden="1">Sheet1!$B$5</definedName>
    <definedName name="solver_lhs22" localSheetId="0" hidden="1">Sheet1!$B$5</definedName>
    <definedName name="solver_lhs3" localSheetId="0" hidden="1">Sheet1!$N$10</definedName>
    <definedName name="solver_lhs4" localSheetId="0" hidden="1">Sheet1!$N$9</definedName>
    <definedName name="solver_lhs5" localSheetId="0" hidden="1">Sheet1!$N$9</definedName>
    <definedName name="solver_lhs6" localSheetId="0" hidden="1">Sheet1!$M$9</definedName>
    <definedName name="solver_lhs7" localSheetId="0" hidden="1">Sheet1!$M$10</definedName>
    <definedName name="solver_lhs8" localSheetId="0" hidden="1">Sheet1!$M$10</definedName>
    <definedName name="solver_lhs9" localSheetId="0" hidden="1">Sheet1!$J$10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22</definedName>
    <definedName name="solver_nwt" localSheetId="0" hidden="1">1</definedName>
    <definedName name="solver_opt" localSheetId="0" hidden="1">Sheet1!$D$9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1</definedName>
    <definedName name="solver_rel14" localSheetId="0" hidden="1">1</definedName>
    <definedName name="solver_rel15" localSheetId="0" hidden="1">1</definedName>
    <definedName name="solver_rel16" localSheetId="0" hidden="1">1</definedName>
    <definedName name="solver_rel17" localSheetId="0" hidden="1">1</definedName>
    <definedName name="solver_rel18" localSheetId="0" hidden="1">1</definedName>
    <definedName name="solver_rel19" localSheetId="0" hidden="1">1</definedName>
    <definedName name="solver_rel2" localSheetId="0" hidden="1">1</definedName>
    <definedName name="solver_rel20" localSheetId="0" hidden="1">1</definedName>
    <definedName name="solver_rel21" localSheetId="0" hidden="1">1</definedName>
    <definedName name="solver_rel22" localSheetId="0" hidden="1">1</definedName>
    <definedName name="solver_rel3" localSheetId="0" hidden="1">1</definedName>
    <definedName name="solver_rel4" localSheetId="0" hidden="1">1</definedName>
    <definedName name="solver_rel5" localSheetId="0" hidden="1">1</definedName>
    <definedName name="solver_rel6" localSheetId="0" hidden="1">1</definedName>
    <definedName name="solver_rel7" localSheetId="0" hidden="1">1</definedName>
    <definedName name="solver_rel8" localSheetId="0" hidden="1">1</definedName>
    <definedName name="solver_rel9" localSheetId="0" hidden="1">1</definedName>
    <definedName name="solver_rhs1" localSheetId="0" hidden="1">Sheet1!$N$9</definedName>
    <definedName name="solver_rhs10" localSheetId="0" hidden="1">Sheet1!$L$9</definedName>
    <definedName name="solver_rhs11" localSheetId="0" hidden="1">Sheet1!$L$11</definedName>
    <definedName name="solver_rhs12" localSheetId="0" hidden="1">Sheet1!$K$9</definedName>
    <definedName name="solver_rhs13" localSheetId="0" hidden="1">Sheet1!$L$9</definedName>
    <definedName name="solver_rhs14" localSheetId="0" hidden="1">Sheet1!$K$11</definedName>
    <definedName name="solver_rhs15" localSheetId="0" hidden="1">Sheet1!$J$11</definedName>
    <definedName name="solver_rhs16" localSheetId="0" hidden="1">Sheet1!$F$5</definedName>
    <definedName name="solver_rhs17" localSheetId="0" hidden="1">Sheet1!$F$5</definedName>
    <definedName name="solver_rhs18" localSheetId="0" hidden="1">Sheet1!$I$9</definedName>
    <definedName name="solver_rhs19" localSheetId="0" hidden="1">Sheet1!$C$7</definedName>
    <definedName name="solver_rhs2" localSheetId="0" hidden="1">Sheet1!$M$11</definedName>
    <definedName name="solver_rhs20" localSheetId="0" hidden="1">Sheet1!$I$11</definedName>
    <definedName name="solver_rhs21" localSheetId="0" hidden="1">Sheet1!$F$5</definedName>
    <definedName name="solver_rhs22" localSheetId="0" hidden="1">Sheet1!$F$5</definedName>
    <definedName name="solver_rhs3" localSheetId="0" hidden="1">Sheet1!$N$9</definedName>
    <definedName name="solver_rhs4" localSheetId="0" hidden="1">Sheet1!$N$11</definedName>
    <definedName name="solver_rhs5" localSheetId="0" hidden="1">Sheet1!$N$11</definedName>
    <definedName name="solver_rhs6" localSheetId="0" hidden="1">Sheet1!$M$11</definedName>
    <definedName name="solver_rhs7" localSheetId="0" hidden="1">Sheet1!$M$9</definedName>
    <definedName name="solver_rhs8" localSheetId="0" hidden="1">Sheet1!$M$9</definedName>
    <definedName name="solver_rhs9" localSheetId="0" hidden="1">Sheet1!$J$9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1" l="1"/>
  <c r="I8" i="1" l="1"/>
  <c r="F8" i="1"/>
  <c r="F6" i="1" l="1"/>
  <c r="F7" i="1"/>
  <c r="F5" i="1"/>
  <c r="H9" i="1" l="1"/>
  <c r="F9" i="1"/>
  <c r="I9" i="1"/>
  <c r="D9" i="1"/>
  <c r="L9" i="1"/>
  <c r="M9" i="1"/>
  <c r="K9" i="1"/>
  <c r="N9" i="1"/>
  <c r="J9" i="1"/>
</calcChain>
</file>

<file path=xl/sharedStrings.xml><?xml version="1.0" encoding="utf-8"?>
<sst xmlns="http://schemas.openxmlformats.org/spreadsheetml/2006/main" count="33" uniqueCount="28">
  <si>
    <t>ingredients</t>
    <phoneticPr fontId="1" type="noConversion"/>
  </si>
  <si>
    <t>lowest</t>
    <phoneticPr fontId="1" type="noConversion"/>
  </si>
  <si>
    <t>limit</t>
    <phoneticPr fontId="1" type="noConversion"/>
  </si>
  <si>
    <t>price (won/kg)</t>
    <phoneticPr fontId="1" type="noConversion"/>
  </si>
  <si>
    <t>formula</t>
    <phoneticPr fontId="1" type="noConversion"/>
  </si>
  <si>
    <t>DM</t>
  </si>
  <si>
    <t>CP</t>
  </si>
  <si>
    <t>NDF</t>
  </si>
  <si>
    <t>ADF</t>
  </si>
  <si>
    <t>NFC</t>
  </si>
  <si>
    <t>EE</t>
  </si>
  <si>
    <t>ASH</t>
  </si>
  <si>
    <t>(%)</t>
    <phoneticPr fontId="1" type="noConversion"/>
  </si>
  <si>
    <t>(%DM)</t>
  </si>
  <si>
    <t>대두박(실험용)</t>
  </si>
  <si>
    <t>티모시(실험용)</t>
  </si>
  <si>
    <t>파인애플 부산물</t>
    <phoneticPr fontId="1" type="noConversion"/>
  </si>
  <si>
    <t>Requirement</t>
    <phoneticPr fontId="1" type="noConversion"/>
  </si>
  <si>
    <t>Total</t>
    <phoneticPr fontId="1" type="noConversion"/>
  </si>
  <si>
    <t>#하는 방법</t>
    <phoneticPr fontId="1" type="noConversion"/>
  </si>
  <si>
    <t>Req.(upper limit)</t>
    <phoneticPr fontId="1" type="noConversion"/>
  </si>
  <si>
    <t>upper</t>
    <phoneticPr fontId="1" type="noConversion"/>
  </si>
  <si>
    <t>1. 사료원료 사용량 제한 (최대/최소)</t>
    <phoneticPr fontId="1" type="noConversion"/>
  </si>
  <si>
    <t>옥수수(실험용)</t>
    <phoneticPr fontId="1" type="noConversion"/>
  </si>
  <si>
    <t>2. 요구량(requirement) 설정</t>
    <phoneticPr fontId="1" type="noConversion"/>
  </si>
  <si>
    <t>3. 데이터-분석-해찾기-해찾기 클릭</t>
    <phoneticPr fontId="1" type="noConversion"/>
  </si>
  <si>
    <t>*해찾기가 실패 했다면 비가능 요인을 찾아서 해결해야 함 주로 원료사료들의 영양소 함량이 최소 요구량에 미치지 못하는 경우가 대부분임</t>
    <phoneticPr fontId="1" type="noConversion"/>
  </si>
  <si>
    <t>Least cost feed formula program for student #developed by Youngjun 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</si>
</sst>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_);[Red]\(0.0\)"/>
  </numFmts>
  <fonts count="5">
    <font>
      <sz val="11"/>
      <color theme="1"/>
      <name val="Calibri"/>
      <family val="2"/>
      <charset val="129"/>
      <scheme val="minor"/>
    </font>
    <font>
      <sz val="8"/>
      <name val="Calibri"/>
      <family val="2"/>
      <charset val="129"/>
      <scheme val="minor"/>
    </font>
    <font>
      <sz val="11"/>
      <color theme="1"/>
      <name val="Calibri"/>
      <family val="3"/>
      <charset val="129"/>
      <scheme val="minor"/>
    </font>
    <font>
      <sz val="11"/>
      <name val="돋움"/>
      <family val="3"/>
      <charset val="129"/>
    </font>
    <font>
      <sz val="11"/>
      <name val="Calibri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>
      <alignment vertical="center"/>
    </xf>
    <xf numFmtId="0" fontId="3" fillId="0" borderId="0"/>
  </cellStyleXfs>
  <cellXfs count="28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0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0" fillId="2" borderId="0" xfId="0" applyFill="1">
      <alignment vertical="center"/>
    </xf>
    <xf numFmtId="164" fontId="0" fillId="2" borderId="0" xfId="0" applyNumberFormat="1" applyFill="1" applyAlignment="1">
      <alignment horizontal="center" vertical="center"/>
    </xf>
    <xf numFmtId="164" fontId="0" fillId="2" borderId="0" xfId="0" applyNumberFormat="1" applyFill="1">
      <alignment vertical="center"/>
    </xf>
    <xf numFmtId="0" fontId="0" fillId="2" borderId="1" xfId="0" applyFill="1" applyBorder="1">
      <alignment vertical="center"/>
    </xf>
    <xf numFmtId="0" fontId="0" fillId="3" borderId="0" xfId="0" applyFill="1">
      <alignment vertical="center"/>
    </xf>
    <xf numFmtId="164" fontId="0" fillId="3" borderId="0" xfId="0" applyNumberFormat="1" applyFill="1">
      <alignment vertical="center"/>
    </xf>
    <xf numFmtId="0" fontId="0" fillId="0" borderId="0" xfId="0" applyFill="1">
      <alignment vertical="center"/>
    </xf>
    <xf numFmtId="0" fontId="0" fillId="4" borderId="2" xfId="0" applyFill="1" applyBorder="1">
      <alignment vertical="center"/>
    </xf>
    <xf numFmtId="0" fontId="0" fillId="4" borderId="0" xfId="0" applyFill="1" applyBorder="1">
      <alignment vertical="center"/>
    </xf>
    <xf numFmtId="0" fontId="2" fillId="4" borderId="0" xfId="0" applyFont="1" applyFill="1" applyBorder="1" applyAlignment="1">
      <alignment horizontal="center" vertical="center"/>
    </xf>
    <xf numFmtId="0" fontId="4" fillId="4" borderId="0" xfId="1" applyFont="1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2" fillId="4" borderId="1" xfId="0" applyFont="1" applyFill="1" applyBorder="1" applyAlignment="1">
      <alignment horizontal="center" vertical="center"/>
    </xf>
    <xf numFmtId="0" fontId="4" fillId="4" borderId="1" xfId="1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left" vertical="center"/>
    </xf>
    <xf numFmtId="0" fontId="4" fillId="4" borderId="1" xfId="2" applyFont="1" applyFill="1" applyBorder="1" applyAlignment="1">
      <alignment horizontal="left" vertical="center"/>
    </xf>
    <xf numFmtId="164" fontId="0" fillId="4" borderId="0" xfId="0" applyNumberFormat="1" applyFill="1">
      <alignment vertical="center"/>
    </xf>
    <xf numFmtId="0" fontId="0" fillId="4" borderId="0" xfId="0" applyFill="1">
      <alignment vertical="center"/>
    </xf>
    <xf numFmtId="164" fontId="2" fillId="4" borderId="0" xfId="0" applyNumberFormat="1" applyFont="1" applyFill="1" applyBorder="1" applyAlignment="1">
      <alignment horizontal="center" vertical="center"/>
    </xf>
    <xf numFmtId="164" fontId="0" fillId="4" borderId="1" xfId="0" applyNumberFormat="1" applyFill="1" applyBorder="1">
      <alignment vertical="center"/>
    </xf>
    <xf numFmtId="165" fontId="2" fillId="4" borderId="1" xfId="0" applyNumberFormat="1" applyFont="1" applyFill="1" applyBorder="1" applyAlignment="1">
      <alignment horizontal="center" vertical="center"/>
    </xf>
    <xf numFmtId="165" fontId="4" fillId="4" borderId="1" xfId="2" applyNumberFormat="1" applyFont="1" applyFill="1" applyBorder="1" applyAlignment="1">
      <alignment horizontal="center" vertical="center"/>
    </xf>
    <xf numFmtId="164" fontId="0" fillId="3" borderId="0" xfId="0" applyNumberFormat="1" applyFill="1" applyAlignment="1">
      <alignment horizontal="center" vertical="center"/>
    </xf>
    <xf numFmtId="0" fontId="0" fillId="4" borderId="3" xfId="0" applyFill="1" applyBorder="1" applyAlignment="1">
      <alignment horizontal="center" vertical="center"/>
    </xf>
  </cellXfs>
  <cellStyles count="3">
    <cellStyle name="표준" xfId="0" builtinId="0"/>
    <cellStyle name="표준 2" xfId="2" xr:uid="{00000000-0005-0000-0000-000001000000}"/>
    <cellStyle name="표준 2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7"/>
  <sheetViews>
    <sheetView tabSelected="1" workbookViewId="0">
      <selection activeCell="A22" sqref="A22"/>
    </sheetView>
  </sheetViews>
  <sheetFormatPr defaultRowHeight="15"/>
  <cols>
    <col min="1" max="1" width="15.85546875" bestFit="1" customWidth="1"/>
    <col min="4" max="4" width="14.42578125" bestFit="1" customWidth="1"/>
    <col min="5" max="5" width="9" customWidth="1"/>
    <col min="7" max="7" width="1.5703125" customWidth="1"/>
  </cols>
  <sheetData>
    <row r="1" spans="1:14" s="8" customFormat="1">
      <c r="A1" s="8" t="s">
        <v>27</v>
      </c>
    </row>
    <row r="2" spans="1:14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s="10" customFormat="1">
      <c r="A3" s="11"/>
      <c r="B3" s="27" t="s">
        <v>2</v>
      </c>
      <c r="C3" s="27"/>
      <c r="D3" s="11"/>
      <c r="E3" s="11"/>
      <c r="F3" s="12"/>
      <c r="G3" s="12"/>
      <c r="H3" s="13" t="s">
        <v>5</v>
      </c>
      <c r="I3" s="14" t="s">
        <v>9</v>
      </c>
      <c r="J3" s="14" t="s">
        <v>10</v>
      </c>
      <c r="K3" s="14" t="s">
        <v>11</v>
      </c>
      <c r="L3" s="14" t="s">
        <v>7</v>
      </c>
      <c r="M3" s="14" t="s">
        <v>8</v>
      </c>
      <c r="N3" s="14" t="s">
        <v>6</v>
      </c>
    </row>
    <row r="4" spans="1:14" s="10" customFormat="1">
      <c r="A4" s="15" t="s">
        <v>0</v>
      </c>
      <c r="B4" s="15" t="s">
        <v>1</v>
      </c>
      <c r="C4" s="15" t="s">
        <v>21</v>
      </c>
      <c r="D4" s="15" t="s">
        <v>3</v>
      </c>
      <c r="E4" s="15"/>
      <c r="F4" s="15" t="s">
        <v>4</v>
      </c>
      <c r="G4" s="15"/>
      <c r="H4" s="16" t="s">
        <v>12</v>
      </c>
      <c r="I4" s="17" t="s">
        <v>13</v>
      </c>
      <c r="J4" s="17" t="s">
        <v>13</v>
      </c>
      <c r="K4" s="17" t="s">
        <v>13</v>
      </c>
      <c r="L4" s="17" t="s">
        <v>13</v>
      </c>
      <c r="M4" s="17" t="s">
        <v>13</v>
      </c>
      <c r="N4" s="17" t="s">
        <v>13</v>
      </c>
    </row>
    <row r="5" spans="1:14">
      <c r="A5" s="18" t="s">
        <v>23</v>
      </c>
      <c r="B5" s="4">
        <v>10</v>
      </c>
      <c r="C5" s="4">
        <v>100</v>
      </c>
      <c r="D5" s="4">
        <v>250</v>
      </c>
      <c r="E5">
        <v>4.4466578326826065</v>
      </c>
      <c r="F5" s="20">
        <f>E5/SUM($E$5:$E$8)*100</f>
        <v>15.676963374534875</v>
      </c>
      <c r="G5" s="21"/>
      <c r="H5" s="22">
        <v>85.878143914532487</v>
      </c>
      <c r="I5" s="22">
        <v>69.204229649770483</v>
      </c>
      <c r="J5" s="22">
        <v>4.1399999999999997</v>
      </c>
      <c r="K5" s="22">
        <v>1.2717978144868094</v>
      </c>
      <c r="L5" s="22">
        <v>17</v>
      </c>
      <c r="M5" s="22">
        <v>3</v>
      </c>
      <c r="N5" s="22">
        <v>8.3839725357427071</v>
      </c>
    </row>
    <row r="6" spans="1:14">
      <c r="A6" s="18" t="s">
        <v>14</v>
      </c>
      <c r="B6" s="4">
        <v>10</v>
      </c>
      <c r="C6" s="4">
        <v>100</v>
      </c>
      <c r="D6" s="4">
        <v>300</v>
      </c>
      <c r="E6">
        <v>2.3216970504383392</v>
      </c>
      <c r="F6" s="20">
        <f>E6/SUM($E$5:$E$8)*100</f>
        <v>8.1852845431395806</v>
      </c>
      <c r="G6" s="21"/>
      <c r="H6" s="22">
        <v>90.520125770844714</v>
      </c>
      <c r="I6" s="22">
        <v>28.245069816518608</v>
      </c>
      <c r="J6" s="22">
        <v>2.13</v>
      </c>
      <c r="K6" s="22">
        <v>6.6646527792078691</v>
      </c>
      <c r="L6" s="22">
        <v>15.009614907536086</v>
      </c>
      <c r="M6" s="22">
        <v>10.199999999999999</v>
      </c>
      <c r="N6" s="22">
        <v>47.950662496737436</v>
      </c>
    </row>
    <row r="7" spans="1:14">
      <c r="A7" s="18" t="s">
        <v>15</v>
      </c>
      <c r="B7" s="4">
        <v>0</v>
      </c>
      <c r="C7" s="4">
        <v>100</v>
      </c>
      <c r="D7" s="4">
        <v>500</v>
      </c>
      <c r="E7">
        <v>7.1065095399448444</v>
      </c>
      <c r="F7" s="20">
        <f>E7/SUM($E$5:$E$8)*100</f>
        <v>25.054432783123953</v>
      </c>
      <c r="G7" s="21"/>
      <c r="H7" s="22">
        <v>94.833832050879238</v>
      </c>
      <c r="I7" s="22">
        <v>20.338724975641188</v>
      </c>
      <c r="J7" s="22">
        <v>2.27</v>
      </c>
      <c r="K7" s="22">
        <v>6.1913971287033087</v>
      </c>
      <c r="L7" s="22">
        <v>63.860724927265586</v>
      </c>
      <c r="M7" s="22">
        <v>39.17</v>
      </c>
      <c r="N7" s="22">
        <v>7.3391529683899028</v>
      </c>
    </row>
    <row r="8" spans="1:14" s="1" customFormat="1">
      <c r="A8" s="19" t="s">
        <v>16</v>
      </c>
      <c r="B8" s="7">
        <v>10</v>
      </c>
      <c r="C8" s="7">
        <v>100</v>
      </c>
      <c r="D8" s="7">
        <v>100</v>
      </c>
      <c r="E8" s="1">
        <v>14.489415868011536</v>
      </c>
      <c r="F8" s="23">
        <f>E8/SUM($E$5:$E$8)*100</f>
        <v>51.083319299201577</v>
      </c>
      <c r="G8" s="15"/>
      <c r="H8" s="24">
        <v>9.1999999999999993</v>
      </c>
      <c r="I8" s="25">
        <f>100-SUM(N8,J8:L8)</f>
        <v>48.83</v>
      </c>
      <c r="J8" s="24">
        <v>1.19</v>
      </c>
      <c r="K8" s="24">
        <v>4.9000000000000004</v>
      </c>
      <c r="L8" s="24">
        <v>39.36</v>
      </c>
      <c r="M8" s="24">
        <v>17.649999999999999</v>
      </c>
      <c r="N8" s="24">
        <v>5.72</v>
      </c>
    </row>
    <row r="9" spans="1:14">
      <c r="A9" s="18" t="s">
        <v>18</v>
      </c>
      <c r="B9" s="21"/>
      <c r="C9" s="21"/>
      <c r="D9" s="9">
        <f>SUMPRODUCT(D5:D8,F5:F8)/100</f>
        <v>240.10374528057727</v>
      </c>
      <c r="E9" s="8">
        <f>SUM(E5:E8)</f>
        <v>28.364280291077328</v>
      </c>
      <c r="F9" s="9">
        <f>SUM(F5:F8)</f>
        <v>99.999999999999986</v>
      </c>
      <c r="G9" s="8"/>
      <c r="H9" s="26">
        <f t="shared" ref="H9:N9" si="0">SUMPRODUCT($F$5:$F$8,H5:H8)/100</f>
        <v>49.332159113737816</v>
      </c>
      <c r="I9" s="26">
        <f t="shared" si="0"/>
        <v>43.200798061480597</v>
      </c>
      <c r="J9" s="26">
        <f t="shared" si="0"/>
        <v>1.9999999683120293</v>
      </c>
      <c r="K9" s="26">
        <f t="shared" si="0"/>
        <v>4.7992021489737704</v>
      </c>
      <c r="L9" s="26">
        <f t="shared" si="0"/>
        <v>40.000000340565435</v>
      </c>
      <c r="M9" s="26">
        <f t="shared" si="0"/>
        <v>20.135235102095013</v>
      </c>
      <c r="N9" s="26">
        <f t="shared" si="0"/>
        <v>9.9999994806681496</v>
      </c>
    </row>
    <row r="10" spans="1:14">
      <c r="A10" s="3" t="s">
        <v>17</v>
      </c>
      <c r="B10" s="4"/>
      <c r="C10" s="4"/>
      <c r="D10" s="4"/>
      <c r="E10" s="4"/>
      <c r="F10" s="4"/>
      <c r="G10" s="4"/>
      <c r="H10" s="4"/>
      <c r="I10" s="5">
        <v>30</v>
      </c>
      <c r="J10" s="5">
        <v>2</v>
      </c>
      <c r="K10" s="5">
        <v>2</v>
      </c>
      <c r="L10" s="5">
        <v>40</v>
      </c>
      <c r="M10" s="5">
        <v>17</v>
      </c>
      <c r="N10" s="5">
        <v>10</v>
      </c>
    </row>
    <row r="11" spans="1:14">
      <c r="A11" s="3" t="s">
        <v>20</v>
      </c>
      <c r="B11" s="4"/>
      <c r="C11" s="4"/>
      <c r="D11" s="6"/>
      <c r="E11" s="4"/>
      <c r="F11" s="4"/>
      <c r="G11" s="4"/>
      <c r="H11" s="4"/>
      <c r="I11" s="5">
        <v>100</v>
      </c>
      <c r="J11" s="5">
        <v>100</v>
      </c>
      <c r="K11" s="5">
        <v>100</v>
      </c>
      <c r="L11" s="5">
        <v>100</v>
      </c>
      <c r="M11" s="5">
        <v>100</v>
      </c>
      <c r="N11" s="5">
        <v>100</v>
      </c>
    </row>
    <row r="13" spans="1:14">
      <c r="A13" s="2" t="s">
        <v>19</v>
      </c>
    </row>
    <row r="14" spans="1:14">
      <c r="A14" t="s">
        <v>22</v>
      </c>
    </row>
    <row r="15" spans="1:14">
      <c r="A15" t="s">
        <v>24</v>
      </c>
    </row>
    <row r="16" spans="1:14">
      <c r="A16" t="s">
        <v>25</v>
      </c>
    </row>
    <row r="17" spans="1:1">
      <c r="A17" t="s">
        <v>26</v>
      </c>
    </row>
  </sheetData>
  <mergeCells count="1">
    <mergeCell ref="B3:C3"/>
  </mergeCells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Youngjun</dc:creator>
  <cp:lastModifiedBy>Youngjun</cp:lastModifiedBy>
  <dcterms:created xsi:type="dcterms:W3CDTF">2016-09-26T06:44:53Z</dcterms:created>
  <dcterms:modified xsi:type="dcterms:W3CDTF">2018-02-02T05:40:52Z</dcterms:modified>
</cp:coreProperties>
</file>